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jects\temp\HWVal\HololensET\CaliManager\documents\"/>
    </mc:Choice>
  </mc:AlternateContent>
  <xr:revisionPtr revIDLastSave="0" documentId="13_ncr:1_{6AD4D8B1-63D8-44E5-9632-4B17F7909F95}" xr6:coauthVersionLast="43" xr6:coauthVersionMax="43" xr10:uidLastSave="{00000000-0000-0000-0000-000000000000}"/>
  <bookViews>
    <workbookView xWindow="19395" yWindow="1620" windowWidth="36450" windowHeight="21000" xr2:uid="{3772CE85-DF3C-4AF0-A138-DBD1BD7D0BDA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6" i="1" l="1"/>
  <c r="H6" i="1"/>
  <c r="D6" i="1"/>
  <c r="K6" i="1"/>
  <c r="G6" i="1"/>
  <c r="C6" i="1"/>
  <c r="J6" i="1"/>
  <c r="F6" i="1"/>
  <c r="B6" i="1"/>
  <c r="J16" i="1"/>
  <c r="K16" i="1"/>
  <c r="L16" i="1"/>
  <c r="J17" i="1"/>
  <c r="K17" i="1"/>
  <c r="L17" i="1"/>
  <c r="J18" i="1"/>
  <c r="K18" i="1"/>
  <c r="L18" i="1"/>
  <c r="K15" i="1"/>
  <c r="L15" i="1"/>
  <c r="J15" i="1"/>
  <c r="T6" i="1" l="1"/>
  <c r="T5" i="1"/>
  <c r="S5" i="1"/>
  <c r="R5" i="1"/>
  <c r="R12" i="1" s="1"/>
  <c r="P5" i="1"/>
  <c r="P12" i="1" s="1"/>
  <c r="O5" i="1"/>
  <c r="N5" i="1"/>
  <c r="T4" i="1"/>
  <c r="T11" i="1" s="1"/>
  <c r="S4" i="1"/>
  <c r="S11" i="1" s="1"/>
  <c r="R4" i="1"/>
  <c r="R11" i="1" s="1"/>
  <c r="P4" i="1"/>
  <c r="O4" i="1"/>
  <c r="N4" i="1"/>
  <c r="N11" i="1" s="1"/>
  <c r="T3" i="1"/>
  <c r="T10" i="1" s="1"/>
  <c r="S3" i="1"/>
  <c r="S10" i="1" s="1"/>
  <c r="R3" i="1"/>
  <c r="R10" i="1" s="1"/>
  <c r="P3" i="1"/>
  <c r="O3" i="1"/>
  <c r="O10" i="1" s="1"/>
  <c r="N3" i="1"/>
  <c r="N10" i="1" s="1"/>
  <c r="T2" i="1"/>
  <c r="S2" i="1"/>
  <c r="S9" i="1" s="1"/>
  <c r="R2" i="1"/>
  <c r="P2" i="1"/>
  <c r="O2" i="1"/>
  <c r="O9" i="1" s="1"/>
  <c r="N2" i="1"/>
  <c r="N9" i="1" s="1"/>
  <c r="V12" i="1" a="1"/>
  <c r="V10" i="1" a="1"/>
  <c r="V11" i="1" a="1"/>
  <c r="V9" i="1" a="1"/>
  <c r="P11" i="1" l="1"/>
  <c r="S12" i="1"/>
  <c r="T12" i="1"/>
  <c r="P10" i="1"/>
  <c r="T9" i="1"/>
  <c r="P9" i="1"/>
  <c r="R9" i="1"/>
  <c r="O11" i="1"/>
  <c r="O12" i="1"/>
  <c r="N12" i="1"/>
  <c r="V12" i="1"/>
  <c r="W12" i="1"/>
  <c r="X12" i="1"/>
  <c r="X11" i="1"/>
  <c r="V11" i="1"/>
  <c r="W11" i="1"/>
  <c r="V10" i="1"/>
  <c r="W10" i="1"/>
  <c r="X10" i="1"/>
  <c r="V9" i="1"/>
  <c r="W9" i="1"/>
  <c r="X9" i="1"/>
  <c r="R23" i="1" l="1"/>
  <c r="K9" i="1"/>
  <c r="Q26" i="1"/>
  <c r="J12" i="1"/>
  <c r="R24" i="1"/>
  <c r="K10" i="1"/>
  <c r="S23" i="1"/>
  <c r="L9" i="1"/>
  <c r="S26" i="1"/>
  <c r="L12" i="1"/>
  <c r="Q23" i="1"/>
  <c r="J9" i="1"/>
  <c r="S24" i="1"/>
  <c r="L10" i="1"/>
  <c r="Q24" i="1"/>
  <c r="J10" i="1"/>
  <c r="Q25" i="1"/>
  <c r="J11" i="1"/>
  <c r="S25" i="1"/>
  <c r="L11" i="1"/>
  <c r="R26" i="1"/>
  <c r="K12" i="1"/>
  <c r="R25" i="1"/>
  <c r="K11" i="1"/>
</calcChain>
</file>

<file path=xl/sharedStrings.xml><?xml version="1.0" encoding="utf-8"?>
<sst xmlns="http://schemas.openxmlformats.org/spreadsheetml/2006/main" count="24" uniqueCount="24">
  <si>
    <t>p_x</t>
  </si>
  <si>
    <t>p_y</t>
  </si>
  <si>
    <t>p_z</t>
  </si>
  <si>
    <t>t_x</t>
  </si>
  <si>
    <t>t_y</t>
  </si>
  <si>
    <t>t_z</t>
  </si>
  <si>
    <t>u_x</t>
  </si>
  <si>
    <t>u_y</t>
  </si>
  <si>
    <t>u_z</t>
  </si>
  <si>
    <t>vec_target</t>
  </si>
  <si>
    <t>vec_curr_up</t>
  </si>
  <si>
    <t>vec_new_up</t>
  </si>
  <si>
    <t>LL</t>
  </si>
  <si>
    <t>LF</t>
  </si>
  <si>
    <t>RF</t>
  </si>
  <si>
    <t>RR</t>
  </si>
  <si>
    <t>Normalized</t>
  </si>
  <si>
    <t>New Up</t>
  </si>
  <si>
    <t>Rotated Up point</t>
  </si>
  <si>
    <t>Cross Product</t>
  </si>
  <si>
    <t>vec new up inverse</t>
  </si>
  <si>
    <t>Other rotated up point</t>
  </si>
  <si>
    <t>Up negative</t>
  </si>
  <si>
    <t>PV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</si>
</sst>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8F1E6B-07D8-475D-AAD3-143419CD453E}">
  <sheetPr codeName="Sheet1"/>
  <dimension ref="A1:Z26"/>
  <sheetViews>
    <sheetView tabSelected="1" zoomScale="115" zoomScaleNormal="115" workbookViewId="0">
      <selection activeCell="H8" sqref="H8"/>
    </sheetView>
  </sheetViews>
  <sheetFormatPr defaultRowHeight="15" x14ac:dyDescent="0.25"/>
  <cols>
    <col min="1" max="1" width="12.140625" bestFit="1" customWidth="1"/>
  </cols>
  <sheetData>
    <row r="1" spans="1:26" x14ac:dyDescent="0.25">
      <c r="B1" t="s">
        <v>0</v>
      </c>
      <c r="C1" t="s">
        <v>1</v>
      </c>
      <c r="D1" t="s">
        <v>2</v>
      </c>
      <c r="F1" t="s">
        <v>3</v>
      </c>
      <c r="G1" t="s">
        <v>4</v>
      </c>
      <c r="H1" t="s">
        <v>5</v>
      </c>
      <c r="J1" t="s">
        <v>6</v>
      </c>
      <c r="K1" t="s">
        <v>7</v>
      </c>
      <c r="L1" t="s">
        <v>8</v>
      </c>
      <c r="N1" t="s">
        <v>9</v>
      </c>
      <c r="R1" t="s">
        <v>10</v>
      </c>
    </row>
    <row r="2" spans="1:26" x14ac:dyDescent="0.25">
      <c r="A2" t="s">
        <v>12</v>
      </c>
      <c r="B2">
        <v>58.899880000000003</v>
      </c>
      <c r="C2">
        <v>183.9306</v>
      </c>
      <c r="D2">
        <v>-130.88489000000001</v>
      </c>
      <c r="F2">
        <v>101.43993</v>
      </c>
      <c r="G2">
        <v>188.74405999999999</v>
      </c>
      <c r="H2">
        <v>-156.71460999999999</v>
      </c>
      <c r="J2">
        <v>59.106340000000003</v>
      </c>
      <c r="K2">
        <v>137.88389000000001</v>
      </c>
      <c r="L2">
        <v>-139.12585000000001</v>
      </c>
      <c r="N2">
        <f t="shared" ref="N2:P5" si="0">F2-B2</f>
        <v>42.540050000000001</v>
      </c>
      <c r="O2">
        <f t="shared" si="0"/>
        <v>4.8134599999999921</v>
      </c>
      <c r="P2">
        <f t="shared" si="0"/>
        <v>-25.82971999999998</v>
      </c>
      <c r="R2">
        <f t="shared" ref="R2:T6" si="1">J2-B2</f>
        <v>0.20645999999999987</v>
      </c>
      <c r="S2">
        <f t="shared" si="1"/>
        <v>-46.04670999999999</v>
      </c>
      <c r="T2">
        <f t="shared" si="1"/>
        <v>-8.2409600000000012</v>
      </c>
    </row>
    <row r="3" spans="1:26" x14ac:dyDescent="0.25">
      <c r="A3" t="s">
        <v>13</v>
      </c>
      <c r="B3">
        <v>49.299880000000002</v>
      </c>
      <c r="C3">
        <v>183.51768000000001</v>
      </c>
      <c r="D3">
        <v>-136.47093000000001</v>
      </c>
      <c r="F3">
        <v>49.299880000000002</v>
      </c>
      <c r="G3">
        <v>190.47633999999999</v>
      </c>
      <c r="H3">
        <v>-185.98434</v>
      </c>
      <c r="J3">
        <v>49.299880000000002</v>
      </c>
      <c r="K3">
        <v>137.19414</v>
      </c>
      <c r="L3">
        <v>-142.98128</v>
      </c>
      <c r="N3">
        <f t="shared" si="0"/>
        <v>0</v>
      </c>
      <c r="O3">
        <f t="shared" si="0"/>
        <v>6.9586599999999805</v>
      </c>
      <c r="P3">
        <f t="shared" si="0"/>
        <v>-49.513409999999993</v>
      </c>
      <c r="R3">
        <f t="shared" si="1"/>
        <v>0</v>
      </c>
      <c r="S3">
        <f t="shared" si="1"/>
        <v>-46.323540000000008</v>
      </c>
      <c r="T3">
        <f t="shared" si="1"/>
        <v>-6.5103499999999883</v>
      </c>
    </row>
    <row r="4" spans="1:26" x14ac:dyDescent="0.25">
      <c r="A4" t="s">
        <v>14</v>
      </c>
      <c r="B4">
        <v>-49.30012</v>
      </c>
      <c r="C4">
        <v>183.51768000000001</v>
      </c>
      <c r="D4">
        <v>-136.47093000000001</v>
      </c>
      <c r="F4">
        <v>-49.30012</v>
      </c>
      <c r="G4">
        <v>190.47633999999999</v>
      </c>
      <c r="H4">
        <v>-185.98434</v>
      </c>
      <c r="J4">
        <v>-49.30012</v>
      </c>
      <c r="K4">
        <v>137.19414</v>
      </c>
      <c r="L4">
        <v>-142.98128</v>
      </c>
      <c r="N4">
        <f t="shared" si="0"/>
        <v>0</v>
      </c>
      <c r="O4">
        <f t="shared" si="0"/>
        <v>6.9586599999999805</v>
      </c>
      <c r="P4">
        <f t="shared" si="0"/>
        <v>-49.513409999999993</v>
      </c>
      <c r="R4">
        <f t="shared" si="1"/>
        <v>0</v>
      </c>
      <c r="S4">
        <f t="shared" si="1"/>
        <v>-46.323540000000008</v>
      </c>
      <c r="T4">
        <f t="shared" si="1"/>
        <v>-6.5103499999999883</v>
      </c>
    </row>
    <row r="5" spans="1:26" x14ac:dyDescent="0.25">
      <c r="A5" t="s">
        <v>15</v>
      </c>
      <c r="B5">
        <v>-58.900120000000001</v>
      </c>
      <c r="C5">
        <v>183.9306</v>
      </c>
      <c r="D5">
        <v>-130.88489000000001</v>
      </c>
      <c r="F5">
        <v>-101.44016999999999</v>
      </c>
      <c r="G5">
        <v>188.74405999999999</v>
      </c>
      <c r="H5">
        <v>-156.71460999999999</v>
      </c>
      <c r="J5">
        <v>-59.106569999999998</v>
      </c>
      <c r="K5">
        <v>137.88389000000001</v>
      </c>
      <c r="L5">
        <v>-139.12585000000001</v>
      </c>
      <c r="N5">
        <f t="shared" si="0"/>
        <v>-42.540049999999994</v>
      </c>
      <c r="O5">
        <f t="shared" si="0"/>
        <v>4.8134599999999921</v>
      </c>
      <c r="P5">
        <f t="shared" si="0"/>
        <v>-25.82971999999998</v>
      </c>
      <c r="R5">
        <f t="shared" si="1"/>
        <v>-0.20644999999999669</v>
      </c>
      <c r="S5">
        <f t="shared" si="1"/>
        <v>-46.04670999999999</v>
      </c>
      <c r="T5">
        <f t="shared" si="1"/>
        <v>-8.2409600000000012</v>
      </c>
    </row>
    <row r="6" spans="1:26" x14ac:dyDescent="0.25">
      <c r="A6" t="s">
        <v>23</v>
      </c>
      <c r="B6">
        <f xml:space="preserve"> 46.92564 - 46.92576</f>
        <v>-1.1999999999545707E-4</v>
      </c>
      <c r="C6">
        <f>56.7457 - -129.36</f>
        <v>186.10570000000001</v>
      </c>
      <c r="D6">
        <f>761.22533-909.95397</f>
        <v>-148.72864000000004</v>
      </c>
      <c r="F6">
        <f>46.92564 - 46.92576</f>
        <v>-1.1999999999545707E-4</v>
      </c>
      <c r="G6">
        <f>60.15422 - -129.36</f>
        <v>189.51422000000002</v>
      </c>
      <c r="H6">
        <f>712.48116-909.95397</f>
        <v>-197.47280999999998</v>
      </c>
      <c r="J6">
        <f xml:space="preserve"> 46.92564 - 46.92576</f>
        <v>-1.1999999999545707E-4</v>
      </c>
      <c r="K6">
        <f>32.81341 - -129.36</f>
        <v>162.17341000000002</v>
      </c>
      <c r="L6">
        <f>759.55182-909.95397</f>
        <v>-150.40215000000001</v>
      </c>
      <c r="T6">
        <f t="shared" si="1"/>
        <v>-1.6735099999999647</v>
      </c>
    </row>
    <row r="8" spans="1:26" x14ac:dyDescent="0.25">
      <c r="J8" t="s">
        <v>17</v>
      </c>
      <c r="N8" t="s">
        <v>16</v>
      </c>
      <c r="V8" t="s">
        <v>11</v>
      </c>
      <c r="Z8" t="s">
        <v>20</v>
      </c>
    </row>
    <row r="9" spans="1:26" x14ac:dyDescent="0.25">
      <c r="J9" t="e">
        <f ca="1">V9+B2</f>
        <v>#NAME?</v>
      </c>
      <c r="K9" t="e">
        <f ca="1">W9+C2</f>
        <v>#NAME?</v>
      </c>
      <c r="L9" t="e">
        <f ca="1">X9+D2</f>
        <v>#NAME?</v>
      </c>
      <c r="N9">
        <f>N2/(SQRT(SUMSQ($N2:$P2)))</f>
        <v>0.85080105335331047</v>
      </c>
      <c r="O9">
        <f>O2/(SQRT(SUMSQ($N2:$P2)))</f>
        <v>9.6269206036993821E-2</v>
      </c>
      <c r="P9">
        <f>P2/(SQRT(SUMSQ($N2:$P2)))</f>
        <v>-0.51659443239537928</v>
      </c>
      <c r="R9">
        <f>R2/(SQRT(SUMSQ($R2:$T2)))</f>
        <v>4.4135383414905926E-3</v>
      </c>
      <c r="S9">
        <f>S2/(SQRT(SUMSQ($R2:$T2)))</f>
        <v>-0.98435009243678373</v>
      </c>
      <c r="T9">
        <f>T2/(SQRT(SUMSQ($R2:$T2)))</f>
        <v>-0.17616871515397822</v>
      </c>
      <c r="V9" t="e">
        <f t="array" aca="1" ref="V9:X9" ca="1">vCP(R9:T9,N9:P9)</f>
        <v>#NAME?</v>
      </c>
      <c r="W9" t="e">
        <f ca="1"/>
        <v>#NAME?</v>
      </c>
      <c r="X9" t="e">
        <f ca="1"/>
        <v>#NAME?</v>
      </c>
    </row>
    <row r="10" spans="1:26" x14ac:dyDescent="0.25">
      <c r="B10">
        <v>-129.36000000000001</v>
      </c>
      <c r="C10">
        <v>909.95396999999991</v>
      </c>
      <c r="J10" t="e">
        <f ca="1">V10+B3</f>
        <v>#NAME?</v>
      </c>
      <c r="K10" t="e">
        <f ca="1">W10+C3</f>
        <v>#NAME?</v>
      </c>
      <c r="L10" t="e">
        <f ca="1">X10+D3</f>
        <v>#NAME?</v>
      </c>
      <c r="N10">
        <f>N3/(SQRT(SUMSQ($N3:$P3)))</f>
        <v>0</v>
      </c>
      <c r="O10">
        <f>O3/(SQRT(SUMSQ($N3:$P3)))</f>
        <v>0.13917317999180503</v>
      </c>
      <c r="P10">
        <f>P3/(SQRT(SUMSQ($N3:$P3)))</f>
        <v>-0.99026805763438042</v>
      </c>
      <c r="R10">
        <f>R3/(SQRT(SUMSQ($R3:$T3)))</f>
        <v>0</v>
      </c>
      <c r="S10">
        <f>S3/(SQRT(SUMSQ($R3:$T3)))</f>
        <v>-0.99026806573048576</v>
      </c>
      <c r="T10">
        <f>T3/(SQRT(SUMSQ($R3:$T3)))</f>
        <v>-0.13917312238504342</v>
      </c>
      <c r="V10" t="e">
        <f t="array" aca="1" ref="V10:X10" ca="1">vCP(R10:T10,N10:P10)</f>
        <v>#NAME?</v>
      </c>
      <c r="W10" t="e">
        <f ca="1"/>
        <v>#NAME?</v>
      </c>
      <c r="X10" t="e">
        <f ca="1"/>
        <v>#NAME?</v>
      </c>
    </row>
    <row r="11" spans="1:26" x14ac:dyDescent="0.25">
      <c r="J11" t="e">
        <f ca="1">V11+B4</f>
        <v>#NAME?</v>
      </c>
      <c r="K11" t="e">
        <f ca="1">W11+C4</f>
        <v>#NAME?</v>
      </c>
      <c r="L11" t="e">
        <f ca="1">X11+D4</f>
        <v>#NAME?</v>
      </c>
      <c r="N11">
        <f>N4/(SQRT(SUMSQ($N4:$P4)))</f>
        <v>0</v>
      </c>
      <c r="O11">
        <f>O4/(SQRT(SUMSQ($N4:$P4)))</f>
        <v>0.13917317999180503</v>
      </c>
      <c r="P11">
        <f>P4/(SQRT(SUMSQ($N4:$P4)))</f>
        <v>-0.99026805763438042</v>
      </c>
      <c r="R11">
        <f>R4/(SQRT(SUMSQ($R4:$T4)))</f>
        <v>0</v>
      </c>
      <c r="S11">
        <f>S4/(SQRT(SUMSQ($R4:$T4)))</f>
        <v>-0.99026806573048576</v>
      </c>
      <c r="T11">
        <f>T4/(SQRT(SUMSQ($R4:$T4)))</f>
        <v>-0.13917312238504342</v>
      </c>
      <c r="V11" t="e">
        <f t="array" aca="1" ref="V11:X11" ca="1">vCP(R11:T11,N11:P11)</f>
        <v>#NAME?</v>
      </c>
      <c r="W11" t="e">
        <f ca="1"/>
        <v>#NAME?</v>
      </c>
      <c r="X11" t="e">
        <f ca="1"/>
        <v>#NAME?</v>
      </c>
    </row>
    <row r="12" spans="1:26" x14ac:dyDescent="0.25">
      <c r="J12" t="e">
        <f ca="1">V12+B5</f>
        <v>#NAME?</v>
      </c>
      <c r="K12" t="e">
        <f ca="1">W12+C5</f>
        <v>#NAME?</v>
      </c>
      <c r="L12" t="e">
        <f ca="1">X12+D5</f>
        <v>#NAME?</v>
      </c>
      <c r="N12">
        <f>N5/(SQRT(SUMSQ($N5:$P5)))</f>
        <v>-0.85080105335331058</v>
      </c>
      <c r="O12">
        <f>O5/(SQRT(SUMSQ($N5:$P5)))</f>
        <v>9.6269206036993848E-2</v>
      </c>
      <c r="P12">
        <f>P5/(SQRT(SUMSQ($N5:$P5)))</f>
        <v>-0.51659443239537939</v>
      </c>
      <c r="R12">
        <f>R5/(SQRT(SUMSQ($R5:$T5)))</f>
        <v>-4.4133245735754317E-3</v>
      </c>
      <c r="S12">
        <f>S5/(SQRT(SUMSQ($R5:$T5)))</f>
        <v>-0.98435009336548696</v>
      </c>
      <c r="T12">
        <f>T5/(SQRT(SUMSQ($R5:$T5)))</f>
        <v>-0.17616871532018785</v>
      </c>
      <c r="V12" t="e">
        <f t="array" aca="1" ref="V12:X12" ca="1">vCP(R12:T12,N12:P12)</f>
        <v>#NAME?</v>
      </c>
      <c r="W12" t="e">
        <f ca="1"/>
        <v>#NAME?</v>
      </c>
      <c r="X12" t="e">
        <f ca="1"/>
        <v>#NAME?</v>
      </c>
    </row>
    <row r="14" spans="1:26" x14ac:dyDescent="0.25">
      <c r="J14" t="s">
        <v>22</v>
      </c>
      <c r="V14" t="s">
        <v>19</v>
      </c>
    </row>
    <row r="15" spans="1:26" x14ac:dyDescent="0.25">
      <c r="J15">
        <f>B2-(J2-B2)</f>
        <v>58.693420000000003</v>
      </c>
      <c r="K15">
        <f>C2-(K2-C2)</f>
        <v>229.97730999999999</v>
      </c>
      <c r="L15">
        <f>D2-(L2-D2)</f>
        <v>-122.64393000000001</v>
      </c>
    </row>
    <row r="16" spans="1:26" x14ac:dyDescent="0.25">
      <c r="J16">
        <f>B3-(J3-B3)</f>
        <v>49.299880000000002</v>
      </c>
      <c r="K16">
        <f>C3-(K3-C3)</f>
        <v>229.84122000000002</v>
      </c>
      <c r="L16">
        <f>D3-(L3-D3)</f>
        <v>-129.96058000000002</v>
      </c>
    </row>
    <row r="17" spans="10:23" x14ac:dyDescent="0.25">
      <c r="J17">
        <f>B4-(J4-B4)</f>
        <v>-49.30012</v>
      </c>
      <c r="K17">
        <f>C4-(K4-C4)</f>
        <v>229.84122000000002</v>
      </c>
      <c r="L17">
        <f>D4-(L4-D4)</f>
        <v>-129.96058000000002</v>
      </c>
    </row>
    <row r="18" spans="10:23" x14ac:dyDescent="0.25">
      <c r="J18">
        <f>B5-(J5-B5)</f>
        <v>-58.693670000000004</v>
      </c>
      <c r="K18">
        <f>C5-(K5-C5)</f>
        <v>229.97730999999999</v>
      </c>
      <c r="L18">
        <f>D5-(L5-D5)</f>
        <v>-122.64393000000001</v>
      </c>
    </row>
    <row r="22" spans="10:23" x14ac:dyDescent="0.25">
      <c r="M22" t="s">
        <v>18</v>
      </c>
      <c r="Q22" t="s">
        <v>21</v>
      </c>
    </row>
    <row r="23" spans="10:23" x14ac:dyDescent="0.25">
      <c r="M23">
        <v>59.425349399617154</v>
      </c>
      <c r="N23">
        <v>183.78299548091348</v>
      </c>
      <c r="O23">
        <v>-130.04697901665443</v>
      </c>
      <c r="Q23" t="e">
        <f ca="1">B2-V9</f>
        <v>#NAME?</v>
      </c>
      <c r="R23" t="e">
        <f ca="1">C2-W9</f>
        <v>#NAME?</v>
      </c>
      <c r="S23" t="e">
        <f ca="1">D2-X9</f>
        <v>#NAME?</v>
      </c>
      <c r="U23">
        <v>58.693420000000003</v>
      </c>
      <c r="V23">
        <v>229.97730999999999</v>
      </c>
      <c r="W23">
        <v>-122.64393000000001</v>
      </c>
    </row>
    <row r="24" spans="10:23" x14ac:dyDescent="0.25">
      <c r="M24">
        <v>50.299880000000002</v>
      </c>
      <c r="N24">
        <v>183.51768000000001</v>
      </c>
      <c r="O24">
        <v>-136.47093000000001</v>
      </c>
      <c r="Q24" t="e">
        <f ca="1">B3-V10</f>
        <v>#NAME?</v>
      </c>
      <c r="R24" t="e">
        <f ca="1">C3-W10</f>
        <v>#NAME?</v>
      </c>
      <c r="S24" t="e">
        <f ca="1">D3-X10</f>
        <v>#NAME?</v>
      </c>
      <c r="U24">
        <v>49.299880000000002</v>
      </c>
      <c r="V24">
        <v>229.84121999999999</v>
      </c>
      <c r="W24">
        <v>-129.96058000000002</v>
      </c>
    </row>
    <row r="25" spans="10:23" x14ac:dyDescent="0.25">
      <c r="M25">
        <v>-48.30012</v>
      </c>
      <c r="N25">
        <v>183.51768000000001</v>
      </c>
      <c r="O25">
        <v>-136.47093000000001</v>
      </c>
      <c r="Q25" t="e">
        <f ca="1">B4-V11</f>
        <v>#NAME?</v>
      </c>
      <c r="R25" t="e">
        <f ca="1">C4-W11</f>
        <v>#NAME?</v>
      </c>
      <c r="S25" t="e">
        <f ca="1">D4-X11</f>
        <v>#NAME?</v>
      </c>
      <c r="U25">
        <v>-49.30012</v>
      </c>
      <c r="V25">
        <v>229.84122000000002</v>
      </c>
      <c r="W25">
        <v>-129.96058000000002</v>
      </c>
    </row>
    <row r="26" spans="10:23" x14ac:dyDescent="0.25">
      <c r="M26">
        <v>-58.37465059988709</v>
      </c>
      <c r="N26">
        <v>184.07820462965924</v>
      </c>
      <c r="O26">
        <v>-131.72280096355649</v>
      </c>
      <c r="Q26" t="e">
        <f ca="1">B5-V12</f>
        <v>#NAME?</v>
      </c>
      <c r="R26" t="e">
        <f ca="1">C5-W12</f>
        <v>#NAME?</v>
      </c>
      <c r="S26" t="e">
        <f ca="1">D5-X12</f>
        <v>#NAME?</v>
      </c>
      <c r="U26">
        <v>-58.693670000000004</v>
      </c>
      <c r="V26">
        <v>229.97730999999999</v>
      </c>
      <c r="W26">
        <v>-122.64393000000001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Dmitry Ponomarev</dc:creator>
  <cp:lastModifiedBy>Dmitry Ponomarev</cp:lastModifiedBy>
  <dcterms:created xsi:type="dcterms:W3CDTF">2019-06-18T21:14:30Z</dcterms:created>
  <dcterms:modified xsi:type="dcterms:W3CDTF">2019-06-27T23:04:54Z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iteId">
    <vt:lpwstr>72f988bf-86f1-41af-91ab-2d7cd011db47</vt:lpwstr>
  </property>
  <property fmtid="{D5CDD505-2E9C-101B-9397-08002B2CF9AE}" pid="4" name="MSIP_Label_f42aa342-8706-4288-bd11-ebb85995028c_Owner">
    <vt:lpwstr>dmponoma@microsoft.com</vt:lpwstr>
  </property>
  <property fmtid="{D5CDD505-2E9C-101B-9397-08002B2CF9AE}" pid="5" name="MSIP_Label_f42aa342-8706-4288-bd11-ebb85995028c_SetDate">
    <vt:lpwstr>2019-06-18T21:15:48.5592237Z</vt:lpwstr>
  </property>
  <property fmtid="{D5CDD505-2E9C-101B-9397-08002B2CF9AE}" pid="6" name="MSIP_Label_f42aa342-8706-4288-bd11-ebb85995028c_Name">
    <vt:lpwstr>General</vt:lpwstr>
  </property>
  <property fmtid="{D5CDD505-2E9C-101B-9397-08002B2CF9AE}" pid="7" name="MSIP_Label_f42aa342-8706-4288-bd11-ebb85995028c_Application">
    <vt:lpwstr>Microsoft Azure Information Protection</vt:lpwstr>
  </property>
  <property fmtid="{D5CDD505-2E9C-101B-9397-08002B2CF9AE}" pid="8" name="MSIP_Label_f42aa342-8706-4288-bd11-ebb85995028c_ActionId">
    <vt:lpwstr>7196b383-e60c-4e1d-b421-0bd91cf431e0</vt:lpwstr>
  </property>
  <property fmtid="{D5CDD505-2E9C-101B-9397-08002B2CF9AE}" pid="9" name="MSIP_Label_f42aa342-8706-4288-bd11-ebb85995028c_Extended_MSFT_Method">
    <vt:lpwstr>Automatic</vt:lpwstr>
  </property>
  <property fmtid="{D5CDD505-2E9C-101B-9397-08002B2CF9AE}" pid="10" name="Sensitivity">
    <vt:lpwstr>General</vt:lpwstr>
  </property>
</Properties>
</file>